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CBD4AD67-DD27-4FCD-BAF6-7C6713D335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</calcChain>
</file>

<file path=xl/sharedStrings.xml><?xml version="1.0" encoding="utf-8"?>
<sst xmlns="http://schemas.openxmlformats.org/spreadsheetml/2006/main" count="563" uniqueCount="187">
  <si>
    <t>Season</t>
  </si>
  <si>
    <t>Episode_id</t>
  </si>
  <si>
    <t>Ratings</t>
  </si>
  <si>
    <t>ARC_NO</t>
  </si>
  <si>
    <t>ARC_NAME</t>
  </si>
  <si>
    <t>Status</t>
  </si>
  <si>
    <t>Season_1</t>
  </si>
  <si>
    <t>S1E1</t>
  </si>
  <si>
    <t>Capital city's First Day Arc</t>
  </si>
  <si>
    <t>Aired</t>
  </si>
  <si>
    <t>S1E2</t>
  </si>
  <si>
    <t>S1E3</t>
  </si>
  <si>
    <t>S1E4</t>
  </si>
  <si>
    <t>Roswaal Mansion Arc</t>
  </si>
  <si>
    <t>S1E5</t>
  </si>
  <si>
    <t>S1E6</t>
  </si>
  <si>
    <t>S1E7</t>
  </si>
  <si>
    <t>S1E8</t>
  </si>
  <si>
    <t>S1E9</t>
  </si>
  <si>
    <t>S1E10</t>
  </si>
  <si>
    <t>S1E11</t>
  </si>
  <si>
    <t>S1E12</t>
  </si>
  <si>
    <t>Royal selection &amp; Return to Capital Arc</t>
  </si>
  <si>
    <t>S1E13</t>
  </si>
  <si>
    <t>S1E14</t>
  </si>
  <si>
    <t>S1E15</t>
  </si>
  <si>
    <t>S1E16</t>
  </si>
  <si>
    <t>S1E17</t>
  </si>
  <si>
    <t>S1E18</t>
  </si>
  <si>
    <t>S1E19</t>
  </si>
  <si>
    <t>S1E20</t>
  </si>
  <si>
    <t>S1E21</t>
  </si>
  <si>
    <t>S1E22</t>
  </si>
  <si>
    <t>S1E23</t>
  </si>
  <si>
    <t>S1E24</t>
  </si>
  <si>
    <t>S1E25</t>
  </si>
  <si>
    <t>Season_2</t>
  </si>
  <si>
    <t>S2E1</t>
  </si>
  <si>
    <t>The Everlasting Contract(The Sanctuary Arc)</t>
  </si>
  <si>
    <t>S2E2</t>
  </si>
  <si>
    <t>S2E3</t>
  </si>
  <si>
    <t>S2E4</t>
  </si>
  <si>
    <t>S2E5</t>
  </si>
  <si>
    <t>S2E6</t>
  </si>
  <si>
    <t>S2E7</t>
  </si>
  <si>
    <t>S2E8</t>
  </si>
  <si>
    <t>S2E9</t>
  </si>
  <si>
    <t>S2E10</t>
  </si>
  <si>
    <t>S2E11</t>
  </si>
  <si>
    <t>S2E12</t>
  </si>
  <si>
    <t>S2E13</t>
  </si>
  <si>
    <t>S2E14</t>
  </si>
  <si>
    <t>S2E15</t>
  </si>
  <si>
    <t>S2E16</t>
  </si>
  <si>
    <t>S2E17</t>
  </si>
  <si>
    <t>S2E18</t>
  </si>
  <si>
    <t>S2E19</t>
  </si>
  <si>
    <t>S2E20</t>
  </si>
  <si>
    <t>S2E21</t>
  </si>
  <si>
    <t>S2E22</t>
  </si>
  <si>
    <t>S2E23</t>
  </si>
  <si>
    <t>S2E24</t>
  </si>
  <si>
    <t>S2E25</t>
  </si>
  <si>
    <t>Season_3</t>
  </si>
  <si>
    <t>S3E1</t>
  </si>
  <si>
    <t>Priestella Arc(Stars That Engrave History)</t>
  </si>
  <si>
    <t>S3E2</t>
  </si>
  <si>
    <t>S3E3</t>
  </si>
  <si>
    <t>S3E4</t>
  </si>
  <si>
    <t>S3E5</t>
  </si>
  <si>
    <t>S3E6</t>
  </si>
  <si>
    <t>S3E7</t>
  </si>
  <si>
    <t>S3E8</t>
  </si>
  <si>
    <t>S3E9</t>
  </si>
  <si>
    <t>S3E10</t>
  </si>
  <si>
    <t>S3E11</t>
  </si>
  <si>
    <t>S3E12</t>
  </si>
  <si>
    <t>S3E13</t>
  </si>
  <si>
    <t>S3E14</t>
  </si>
  <si>
    <t>S3E15</t>
  </si>
  <si>
    <t>S3E16</t>
  </si>
  <si>
    <t>Season_4</t>
  </si>
  <si>
    <t>S4E1</t>
  </si>
  <si>
    <t>The Corridor Of Memories(Pleiades WatchTower )Arc</t>
  </si>
  <si>
    <t>S4E2</t>
  </si>
  <si>
    <t>S4E3</t>
  </si>
  <si>
    <t>S4E4</t>
  </si>
  <si>
    <t>S4E5</t>
  </si>
  <si>
    <t>S4E6</t>
  </si>
  <si>
    <t>S4E7</t>
  </si>
  <si>
    <t>S4E8</t>
  </si>
  <si>
    <t>S4E9</t>
  </si>
  <si>
    <t>S4E10</t>
  </si>
  <si>
    <t>S4E11</t>
  </si>
  <si>
    <t>Not Aired</t>
  </si>
  <si>
    <t>S4E12</t>
  </si>
  <si>
    <t>S4E13</t>
  </si>
  <si>
    <t>S4E14</t>
  </si>
  <si>
    <t>S4E15</t>
  </si>
  <si>
    <t>S4E16</t>
  </si>
  <si>
    <t>S4E17</t>
  </si>
  <si>
    <t>S4E18</t>
  </si>
  <si>
    <t>S4E19</t>
  </si>
  <si>
    <t>Death_No</t>
  </si>
  <si>
    <t>Cause_of_death</t>
  </si>
  <si>
    <t>Killed_by</t>
  </si>
  <si>
    <t>Disemboweled</t>
  </si>
  <si>
    <t>Elsa Granhiert</t>
  </si>
  <si>
    <t>Stabbed</t>
  </si>
  <si>
    <t>Street thugs</t>
  </si>
  <si>
    <t>Curse in sleep</t>
  </si>
  <si>
    <t>Wolgarm curse</t>
  </si>
  <si>
    <t>Crushed to death</t>
  </si>
  <si>
    <t>Rem</t>
  </si>
  <si>
    <t>Tortured to death</t>
  </si>
  <si>
    <t>Rem &amp;Ram</t>
  </si>
  <si>
    <t>Suicide(cliff jump)</t>
  </si>
  <si>
    <t>Himself</t>
  </si>
  <si>
    <t>Frozen to death</t>
  </si>
  <si>
    <t>Puck</t>
  </si>
  <si>
    <t>Assisted Suicide</t>
  </si>
  <si>
    <t>Julius &amp;Ferris</t>
  </si>
  <si>
    <t>Suicide(with broken sword)</t>
  </si>
  <si>
    <t>Sliced Apart</t>
  </si>
  <si>
    <t>Eaten Alive</t>
  </si>
  <si>
    <t>Great Rabbit</t>
  </si>
  <si>
    <t>Suicide</t>
  </si>
  <si>
    <t>Enchanted Handkerchief</t>
  </si>
  <si>
    <t>Blood loss after rabbit attack</t>
  </si>
  <si>
    <t>Blunt-Force Trauma</t>
  </si>
  <si>
    <t>Authority Of Wrath</t>
  </si>
  <si>
    <t>Heart Failure from Fear feedback</t>
  </si>
  <si>
    <t>Sirius</t>
  </si>
  <si>
    <t>Cut in Half (reinhard's attack on sirius reflected)</t>
  </si>
  <si>
    <t>sniped</t>
  </si>
  <si>
    <t>Shaula</t>
  </si>
  <si>
    <t>Patrasche</t>
  </si>
  <si>
    <t>Character_id</t>
  </si>
  <si>
    <t>Character_Name</t>
  </si>
  <si>
    <t>Gender</t>
  </si>
  <si>
    <t>Race</t>
  </si>
  <si>
    <t>Affiliation</t>
  </si>
  <si>
    <t>Popularity_votes</t>
  </si>
  <si>
    <t>Popularity_source</t>
  </si>
  <si>
    <t>Subaru</t>
  </si>
  <si>
    <t>Male</t>
  </si>
  <si>
    <t>Human</t>
  </si>
  <si>
    <t>Emilia Camp</t>
  </si>
  <si>
    <t>MAL(2025)</t>
  </si>
  <si>
    <t>Emilia</t>
  </si>
  <si>
    <t>Female</t>
  </si>
  <si>
    <t>Half-Elf</t>
  </si>
  <si>
    <t>Oni</t>
  </si>
  <si>
    <t>Ram</t>
  </si>
  <si>
    <t>Beatrice</t>
  </si>
  <si>
    <t>Spirit</t>
  </si>
  <si>
    <t>Otto Suwen</t>
  </si>
  <si>
    <t>Garfiel Tinsel</t>
  </si>
  <si>
    <t>Demi-Human</t>
  </si>
  <si>
    <t>Roswaal L Mathers</t>
  </si>
  <si>
    <t>Petra Leyte</t>
  </si>
  <si>
    <t>Not_Available</t>
  </si>
  <si>
    <t>Frederica Baumann</t>
  </si>
  <si>
    <t>Reinhard Van Astrea</t>
  </si>
  <si>
    <t>FeltCamp</t>
  </si>
  <si>
    <t>Felt</t>
  </si>
  <si>
    <t>Crush Karsten</t>
  </si>
  <si>
    <t>Crusch Camp</t>
  </si>
  <si>
    <t>Felix Argyle</t>
  </si>
  <si>
    <t>Wilhelm van Astrea</t>
  </si>
  <si>
    <t>Anastasia Hoshin</t>
  </si>
  <si>
    <t>Anastasia Camp</t>
  </si>
  <si>
    <t>Julius Juukulius</t>
  </si>
  <si>
    <t>Priscilla Barielle</t>
  </si>
  <si>
    <t>Priscilla Camp</t>
  </si>
  <si>
    <t>AL</t>
  </si>
  <si>
    <t>Echidna</t>
  </si>
  <si>
    <t>Witch</t>
  </si>
  <si>
    <t>Witches</t>
  </si>
  <si>
    <t>Satella</t>
  </si>
  <si>
    <t>Regulus Corneas</t>
  </si>
  <si>
    <t>Witch Cult</t>
  </si>
  <si>
    <t>Petelguese Romanee-conti</t>
  </si>
  <si>
    <t>Sirius Romanee-conti</t>
  </si>
  <si>
    <t>Assassin</t>
  </si>
  <si>
    <t>Unknown</t>
  </si>
  <si>
    <t>Watch 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</si>
</sst>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quotePrefix="1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D7B686-C4EF-412C-9240-C88217DCE3E8}" name="Table1" displayName="Table1" ref="A1:F87" totalsRowShown="0">
  <autoFilter ref="A1:F87" xr:uid="{6AD7B686-C4EF-412C-9240-C88217DCE3E8}"/>
  <tableColumns count="6">
    <tableColumn id="1" xr3:uid="{5E81B75A-EB21-4F51-9C88-77E95530FE03}" name="Season"/>
    <tableColumn id="2" xr3:uid="{70AC5C5E-ED58-4F42-BDE6-1DEBFEE39276}" name="Episode_id"/>
    <tableColumn id="3" xr3:uid="{60F18A25-F855-44DD-A3D8-EE83B16013FB}" name="Ratings"/>
    <tableColumn id="4" xr3:uid="{A77F62C0-DDB1-4675-9C64-5C84CAEFB6C7}" name="ARC_NO">
      <calculatedColumnFormula>_xlfn.NUMBERVALUE(_xlfn.TEXTAFTER(Table1[[#This Row],[Season]], "_", -1), ".", ",") + 2</calculatedColumnFormula>
    </tableColumn>
    <tableColumn id="6" xr3:uid="{00326AE1-D8CD-44FD-BCF9-4ECB3047BF4D}" name="ARC_NAME"/>
    <tableColumn id="5" xr3:uid="{02298C7D-4B79-4FA1-85B5-45BCE60EC8F8}" name="Status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5CB88F-818D-4D61-8A76-725475E125BD}" name="Table2" displayName="Table2" ref="A1:F24" totalsRowShown="0">
  <autoFilter ref="A1:F24" xr:uid="{B85CB88F-818D-4D61-8A76-725475E125BD}"/>
  <tableColumns count="6">
    <tableColumn id="1" xr3:uid="{8F4BA9E0-E125-4991-A3D5-92ED31F2F4CF}" name="Death_No"/>
    <tableColumn id="2" xr3:uid="{E237C4DA-1956-4402-AC36-0436475550A0}" name="Episode_id"/>
    <tableColumn id="3" xr3:uid="{F1477D9C-541E-453B-A2C3-0D0311226F00}" name="Season">
      <calculatedColumnFormula>LEFT(Table2[[#This Row],[Episode_id]]) &amp; "eason_" &amp; MID(Table2[[#This Row],[Episode_id]], 2, 1)</calculatedColumnFormula>
    </tableColumn>
    <tableColumn id="4" xr3:uid="{0FE5DF34-EA72-4439-B654-5163F88DA8E2}" name="ARC_NO"/>
    <tableColumn id="5" xr3:uid="{B622E598-3007-4497-AEDC-11097C3CDC96}" name="Cause_of_death"/>
    <tableColumn id="6" xr3:uid="{40CBAAE2-083B-4D0F-AAEB-5DCE80B9116F}" name="Killed_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6AC36A-56B8-44F4-9357-8E69C223D00E}" name="Table3" displayName="Table3" ref="A1:G28" totalsRowShown="0">
  <autoFilter ref="A1:G28" xr:uid="{956AC36A-56B8-44F4-9357-8E69C223D00E}"/>
  <tableColumns count="7">
    <tableColumn id="1" xr3:uid="{7B9A4537-A466-43C2-AB6D-D0F82E766CF2}" name="Character_id"/>
    <tableColumn id="2" xr3:uid="{5A276CE5-02B8-4D44-BB68-502236AEA558}" name="Character_Name"/>
    <tableColumn id="3" xr3:uid="{9A927332-A9BD-47A6-93F7-C62D55E97FC2}" name="Gender"/>
    <tableColumn id="4" xr3:uid="{57904ED1-6168-4C34-A65C-66749B46FB65}" name="Race"/>
    <tableColumn id="5" xr3:uid="{81BBEAB1-EB7E-4EB4-9F40-C58C1E2035B0}" name="Affiliation"/>
    <tableColumn id="6" xr3:uid="{6E1683FC-69EC-4AC7-8B1F-0B4218A445CA}" name="Popularity_votes"/>
    <tableColumn id="7" xr3:uid="{3B7D465D-244A-41AA-9902-CD9E987CB95A}" name="Popularity_sourc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topLeftCell="A71" workbookViewId="0">
      <selection activeCell="C78" sqref="C78"/>
    </sheetView>
  </sheetViews>
  <sheetFormatPr defaultRowHeight="15"/>
  <cols>
    <col min="1" max="1" width="11.7109375" bestFit="1" customWidth="1"/>
    <col min="2" max="2" width="12.85546875" bestFit="1" customWidth="1"/>
    <col min="3" max="3" width="15.28515625" bestFit="1" customWidth="1"/>
    <col min="4" max="4" width="10.7109375" bestFit="1" customWidth="1"/>
    <col min="5" max="5" width="36.5703125" bestFit="1" customWidth="1"/>
    <col min="6" max="6" width="9.28515625" bestFit="1" customWidth="1"/>
    <col min="10" max="10" width="19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8.4</v>
      </c>
      <c r="D2">
        <v>1</v>
      </c>
      <c r="E2" s="1" t="s">
        <v>8</v>
      </c>
      <c r="F2" t="s">
        <v>9</v>
      </c>
    </row>
    <row r="3" spans="1:6">
      <c r="A3" t="s">
        <v>6</v>
      </c>
      <c r="B3" t="s">
        <v>10</v>
      </c>
      <c r="C3">
        <v>7.9</v>
      </c>
      <c r="D3">
        <v>1</v>
      </c>
      <c r="E3" s="1" t="s">
        <v>8</v>
      </c>
      <c r="F3" s="1" t="s">
        <v>9</v>
      </c>
    </row>
    <row r="4" spans="1:6">
      <c r="A4" s="1" t="s">
        <v>6</v>
      </c>
      <c r="B4" t="s">
        <v>11</v>
      </c>
      <c r="C4">
        <v>8.5</v>
      </c>
      <c r="D4">
        <v>1</v>
      </c>
      <c r="E4" s="1" t="s">
        <v>8</v>
      </c>
      <c r="F4" t="s">
        <v>9</v>
      </c>
    </row>
    <row r="5" spans="1:6">
      <c r="A5" s="1" t="s">
        <v>6</v>
      </c>
      <c r="B5" t="s">
        <v>12</v>
      </c>
      <c r="C5">
        <v>7.5</v>
      </c>
      <c r="D5">
        <v>2</v>
      </c>
      <c r="E5" t="s">
        <v>13</v>
      </c>
      <c r="F5" t="s">
        <v>9</v>
      </c>
    </row>
    <row r="6" spans="1:6">
      <c r="A6" s="1" t="s">
        <v>6</v>
      </c>
      <c r="B6" t="s">
        <v>14</v>
      </c>
      <c r="C6">
        <v>7.7</v>
      </c>
      <c r="D6">
        <v>2</v>
      </c>
      <c r="E6" s="1" t="s">
        <v>13</v>
      </c>
      <c r="F6" t="s">
        <v>9</v>
      </c>
    </row>
    <row r="7" spans="1:6">
      <c r="A7" s="1" t="s">
        <v>6</v>
      </c>
      <c r="B7" t="s">
        <v>15</v>
      </c>
      <c r="C7">
        <v>8.1999999999999993</v>
      </c>
      <c r="D7">
        <v>2</v>
      </c>
      <c r="E7" s="1" t="s">
        <v>13</v>
      </c>
      <c r="F7" t="s">
        <v>9</v>
      </c>
    </row>
    <row r="8" spans="1:6">
      <c r="A8" s="1" t="s">
        <v>6</v>
      </c>
      <c r="B8" t="s">
        <v>16</v>
      </c>
      <c r="C8">
        <v>8.8000000000000007</v>
      </c>
      <c r="D8">
        <v>2</v>
      </c>
      <c r="E8" s="1" t="s">
        <v>13</v>
      </c>
      <c r="F8" t="s">
        <v>9</v>
      </c>
    </row>
    <row r="9" spans="1:6">
      <c r="A9" s="1" t="s">
        <v>6</v>
      </c>
      <c r="B9" t="s">
        <v>17</v>
      </c>
      <c r="C9">
        <v>8.3000000000000007</v>
      </c>
      <c r="D9" s="2">
        <v>2</v>
      </c>
      <c r="E9" s="1" t="s">
        <v>13</v>
      </c>
      <c r="F9" t="s">
        <v>9</v>
      </c>
    </row>
    <row r="10" spans="1:6">
      <c r="A10" s="1" t="s">
        <v>6</v>
      </c>
      <c r="B10" t="s">
        <v>18</v>
      </c>
      <c r="C10">
        <v>8.4</v>
      </c>
      <c r="D10" s="2">
        <v>2</v>
      </c>
      <c r="E10" s="1" t="s">
        <v>13</v>
      </c>
      <c r="F10" t="s">
        <v>9</v>
      </c>
    </row>
    <row r="11" spans="1:6">
      <c r="A11" s="1" t="s">
        <v>6</v>
      </c>
      <c r="B11" t="s">
        <v>19</v>
      </c>
      <c r="C11">
        <v>8.1999999999999993</v>
      </c>
      <c r="D11" s="1">
        <v>2</v>
      </c>
      <c r="E11" s="1" t="s">
        <v>13</v>
      </c>
      <c r="F11" t="s">
        <v>9</v>
      </c>
    </row>
    <row r="12" spans="1:6">
      <c r="A12" s="1" t="s">
        <v>6</v>
      </c>
      <c r="B12" t="s">
        <v>20</v>
      </c>
      <c r="C12">
        <v>8.6999999999999993</v>
      </c>
      <c r="D12" s="2">
        <v>2</v>
      </c>
      <c r="E12" s="1" t="s">
        <v>13</v>
      </c>
      <c r="F12" t="s">
        <v>9</v>
      </c>
    </row>
    <row r="13" spans="1:6">
      <c r="A13" s="1" t="s">
        <v>6</v>
      </c>
      <c r="B13" t="s">
        <v>21</v>
      </c>
      <c r="C13">
        <v>7.4</v>
      </c>
      <c r="D13">
        <f>_xlfn.NUMBERVALUE(_xlfn.TEXTAFTER(Table1[[#This Row],[Season]], "_", -1), ".", ",") + 2</f>
        <v>3</v>
      </c>
      <c r="E13" t="s">
        <v>22</v>
      </c>
      <c r="F13" t="s">
        <v>9</v>
      </c>
    </row>
    <row r="14" spans="1:6">
      <c r="A14" s="1" t="s">
        <v>6</v>
      </c>
      <c r="B14" t="s">
        <v>23</v>
      </c>
      <c r="C14">
        <v>7.7</v>
      </c>
      <c r="D14">
        <f>_xlfn.NUMBERVALUE(_xlfn.TEXTAFTER(Table1[[#This Row],[Season]], "_", -1), ".", ",") + 2</f>
        <v>3</v>
      </c>
      <c r="E14" s="1" t="s">
        <v>22</v>
      </c>
      <c r="F14" t="s">
        <v>9</v>
      </c>
    </row>
    <row r="15" spans="1:6">
      <c r="A15" s="1" t="s">
        <v>6</v>
      </c>
      <c r="B15" t="s">
        <v>24</v>
      </c>
      <c r="C15">
        <v>8.3000000000000007</v>
      </c>
      <c r="D15">
        <f>_xlfn.NUMBERVALUE(_xlfn.TEXTAFTER(Table1[[#This Row],[Season]], "_", -1), ".", ",") + 2</f>
        <v>3</v>
      </c>
      <c r="E15" s="1" t="s">
        <v>22</v>
      </c>
      <c r="F15" t="s">
        <v>9</v>
      </c>
    </row>
    <row r="16" spans="1:6">
      <c r="A16" s="1" t="s">
        <v>6</v>
      </c>
      <c r="B16" t="s">
        <v>25</v>
      </c>
      <c r="C16">
        <v>9.8000000000000007</v>
      </c>
      <c r="D16">
        <f>_xlfn.NUMBERVALUE(_xlfn.TEXTAFTER(Table1[[#This Row],[Season]], "_", -1), ".", ",") + 2</f>
        <v>3</v>
      </c>
      <c r="E16" t="s">
        <v>22</v>
      </c>
      <c r="F16" t="s">
        <v>9</v>
      </c>
    </row>
    <row r="17" spans="1:6">
      <c r="A17" s="1" t="s">
        <v>6</v>
      </c>
      <c r="B17" t="s">
        <v>26</v>
      </c>
      <c r="C17">
        <v>7.6</v>
      </c>
      <c r="D17">
        <f>_xlfn.NUMBERVALUE(_xlfn.TEXTAFTER(Table1[[#This Row],[Season]], "_", -1), ".", ",") + 2</f>
        <v>3</v>
      </c>
      <c r="E17" t="s">
        <v>22</v>
      </c>
      <c r="F17" t="s">
        <v>9</v>
      </c>
    </row>
    <row r="18" spans="1:6">
      <c r="A18" s="1" t="s">
        <v>6</v>
      </c>
      <c r="B18" t="s">
        <v>27</v>
      </c>
      <c r="C18">
        <v>8.4</v>
      </c>
      <c r="D18">
        <f>_xlfn.NUMBERVALUE(_xlfn.TEXTAFTER(Table1[[#This Row],[Season]], "_", -1), ".", ",") + 2</f>
        <v>3</v>
      </c>
      <c r="E18" s="1" t="s">
        <v>22</v>
      </c>
      <c r="F18" t="s">
        <v>9</v>
      </c>
    </row>
    <row r="19" spans="1:6">
      <c r="A19" s="1" t="s">
        <v>6</v>
      </c>
      <c r="B19" t="s">
        <v>28</v>
      </c>
      <c r="C19">
        <v>9.3000000000000007</v>
      </c>
      <c r="D19">
        <f>_xlfn.NUMBERVALUE(_xlfn.TEXTAFTER(Table1[[#This Row],[Season]], "_", -1), ".", ",") + 2</f>
        <v>3</v>
      </c>
      <c r="E19" s="1" t="s">
        <v>22</v>
      </c>
      <c r="F19" t="s">
        <v>9</v>
      </c>
    </row>
    <row r="20" spans="1:6">
      <c r="A20" s="1" t="s">
        <v>6</v>
      </c>
      <c r="B20" t="s">
        <v>29</v>
      </c>
      <c r="C20">
        <v>8.1999999999999993</v>
      </c>
      <c r="D20">
        <f>_xlfn.NUMBERVALUE(_xlfn.TEXTAFTER(Table1[[#This Row],[Season]], "_", -1), ".", ",") + 2</f>
        <v>3</v>
      </c>
      <c r="E20" s="1" t="s">
        <v>22</v>
      </c>
      <c r="F20" t="s">
        <v>9</v>
      </c>
    </row>
    <row r="21" spans="1:6">
      <c r="A21" s="1" t="s">
        <v>6</v>
      </c>
      <c r="B21" t="s">
        <v>30</v>
      </c>
      <c r="C21">
        <v>8.6999999999999993</v>
      </c>
      <c r="D21">
        <f>_xlfn.NUMBERVALUE(_xlfn.TEXTAFTER(Table1[[#This Row],[Season]], "_", -1), ".", ",") + 2</f>
        <v>3</v>
      </c>
      <c r="E21" s="1" t="s">
        <v>22</v>
      </c>
      <c r="F21" t="s">
        <v>9</v>
      </c>
    </row>
    <row r="22" spans="1:6">
      <c r="A22" s="1" t="s">
        <v>6</v>
      </c>
      <c r="B22" t="s">
        <v>31</v>
      </c>
      <c r="C22">
        <v>8.8000000000000007</v>
      </c>
      <c r="D22">
        <f>_xlfn.NUMBERVALUE(_xlfn.TEXTAFTER(Table1[[#This Row],[Season]], "_", -1), ".", ",") + 2</f>
        <v>3</v>
      </c>
      <c r="E22" s="1" t="s">
        <v>22</v>
      </c>
      <c r="F22" t="s">
        <v>9</v>
      </c>
    </row>
    <row r="23" spans="1:6">
      <c r="A23" s="1" t="s">
        <v>6</v>
      </c>
      <c r="B23" t="s">
        <v>32</v>
      </c>
      <c r="C23">
        <v>8</v>
      </c>
      <c r="D23">
        <f>_xlfn.NUMBERVALUE(_xlfn.TEXTAFTER(Table1[[#This Row],[Season]], "_", -1), ".", ",") + 2</f>
        <v>3</v>
      </c>
      <c r="E23" s="1" t="s">
        <v>22</v>
      </c>
      <c r="F23" t="s">
        <v>9</v>
      </c>
    </row>
    <row r="24" spans="1:6">
      <c r="A24" s="1" t="s">
        <v>6</v>
      </c>
      <c r="B24" t="s">
        <v>33</v>
      </c>
      <c r="C24">
        <v>8.6</v>
      </c>
      <c r="D24">
        <f>_xlfn.NUMBERVALUE(_xlfn.TEXTAFTER(Table1[[#This Row],[Season]], "_", -1), ".", ",") + 2</f>
        <v>3</v>
      </c>
      <c r="E24" s="1" t="s">
        <v>22</v>
      </c>
      <c r="F24" t="s">
        <v>9</v>
      </c>
    </row>
    <row r="25" spans="1:6">
      <c r="A25" s="1" t="s">
        <v>6</v>
      </c>
      <c r="B25" t="s">
        <v>34</v>
      </c>
      <c r="C25">
        <v>8.1999999999999993</v>
      </c>
      <c r="D25">
        <f>_xlfn.NUMBERVALUE(_xlfn.TEXTAFTER(Table1[[#This Row],[Season]], "_", -1), ".", ",") + 2</f>
        <v>3</v>
      </c>
      <c r="E25" s="3" t="s">
        <v>22</v>
      </c>
      <c r="F25" t="s">
        <v>9</v>
      </c>
    </row>
    <row r="26" spans="1:6">
      <c r="A26" s="1" t="s">
        <v>6</v>
      </c>
      <c r="B26" t="s">
        <v>35</v>
      </c>
      <c r="C26">
        <v>8.9</v>
      </c>
      <c r="D26">
        <f>_xlfn.NUMBERVALUE(_xlfn.TEXTAFTER(Table1[[#This Row],[Season]], "_", -1), ".", ",") + 2</f>
        <v>3</v>
      </c>
      <c r="E26" s="1" t="s">
        <v>22</v>
      </c>
      <c r="F26" t="s">
        <v>9</v>
      </c>
    </row>
    <row r="27" spans="1:6" ht="30.75">
      <c r="A27" s="1" t="s">
        <v>36</v>
      </c>
      <c r="B27" t="s">
        <v>37</v>
      </c>
      <c r="C27">
        <v>8.5</v>
      </c>
      <c r="D27">
        <f>_xlfn.NUMBERVALUE(_xlfn.TEXTAFTER(Table1[[#This Row],[Season]], "_", -1), ".", ",") + 2</f>
        <v>4</v>
      </c>
      <c r="E27" s="4" t="s">
        <v>38</v>
      </c>
      <c r="F27" t="s">
        <v>9</v>
      </c>
    </row>
    <row r="28" spans="1:6" ht="30.75">
      <c r="A28" s="1" t="s">
        <v>36</v>
      </c>
      <c r="B28" t="s">
        <v>39</v>
      </c>
      <c r="C28">
        <v>7.6</v>
      </c>
      <c r="D28">
        <f>_xlfn.NUMBERVALUE(_xlfn.TEXTAFTER(Table1[[#This Row],[Season]], "_", -1), ".", ",") + 2</f>
        <v>4</v>
      </c>
      <c r="E28" s="5" t="s">
        <v>38</v>
      </c>
      <c r="F28" t="s">
        <v>9</v>
      </c>
    </row>
    <row r="29" spans="1:6" ht="30.75">
      <c r="A29" s="1" t="s">
        <v>36</v>
      </c>
      <c r="B29" t="s">
        <v>40</v>
      </c>
      <c r="C29">
        <v>8.1999999999999993</v>
      </c>
      <c r="D29">
        <f>_xlfn.NUMBERVALUE(_xlfn.TEXTAFTER(Table1[[#This Row],[Season]], "_", -1), ".", ",") + 2</f>
        <v>4</v>
      </c>
      <c r="E29" s="5" t="s">
        <v>38</v>
      </c>
      <c r="F29" t="s">
        <v>9</v>
      </c>
    </row>
    <row r="30" spans="1:6" ht="30.75">
      <c r="A30" s="1" t="s">
        <v>36</v>
      </c>
      <c r="B30" t="s">
        <v>41</v>
      </c>
      <c r="C30">
        <v>9.4</v>
      </c>
      <c r="D30">
        <f>_xlfn.NUMBERVALUE(_xlfn.TEXTAFTER(Table1[[#This Row],[Season]], "_", -1), ".", ",") + 2</f>
        <v>4</v>
      </c>
      <c r="E30" s="5" t="s">
        <v>38</v>
      </c>
      <c r="F30" t="s">
        <v>9</v>
      </c>
    </row>
    <row r="31" spans="1:6" ht="30.75">
      <c r="A31" s="1" t="s">
        <v>36</v>
      </c>
      <c r="B31" t="s">
        <v>42</v>
      </c>
      <c r="C31">
        <v>8</v>
      </c>
      <c r="D31">
        <f>_xlfn.NUMBERVALUE(_xlfn.TEXTAFTER(Table1[[#This Row],[Season]], "_", -1), ".", ",") + 2</f>
        <v>4</v>
      </c>
      <c r="E31" s="5" t="s">
        <v>38</v>
      </c>
      <c r="F31" t="s">
        <v>9</v>
      </c>
    </row>
    <row r="32" spans="1:6" ht="30.75">
      <c r="A32" s="1" t="s">
        <v>36</v>
      </c>
      <c r="B32" t="s">
        <v>43</v>
      </c>
      <c r="C32">
        <v>8.6</v>
      </c>
      <c r="D32">
        <f>_xlfn.NUMBERVALUE(_xlfn.TEXTAFTER(Table1[[#This Row],[Season]], "_", -1), ".", ",") + 2</f>
        <v>4</v>
      </c>
      <c r="E32" s="5" t="s">
        <v>38</v>
      </c>
      <c r="F32" t="s">
        <v>9</v>
      </c>
    </row>
    <row r="33" spans="1:6" ht="30.75">
      <c r="A33" s="1" t="s">
        <v>36</v>
      </c>
      <c r="B33" t="s">
        <v>44</v>
      </c>
      <c r="C33">
        <v>8.3000000000000007</v>
      </c>
      <c r="D33">
        <f>_xlfn.NUMBERVALUE(_xlfn.TEXTAFTER(Table1[[#This Row],[Season]], "_", -1), ".", ",") + 2</f>
        <v>4</v>
      </c>
      <c r="E33" s="5" t="s">
        <v>38</v>
      </c>
      <c r="F33" t="s">
        <v>9</v>
      </c>
    </row>
    <row r="34" spans="1:6" ht="30.75">
      <c r="A34" s="1" t="s">
        <v>36</v>
      </c>
      <c r="B34" t="s">
        <v>45</v>
      </c>
      <c r="C34">
        <v>9.6</v>
      </c>
      <c r="D34">
        <f>_xlfn.NUMBERVALUE(_xlfn.TEXTAFTER(Table1[[#This Row],[Season]], "_", -1), ".", ",") + 2</f>
        <v>4</v>
      </c>
      <c r="E34" s="5" t="s">
        <v>38</v>
      </c>
      <c r="F34" t="s">
        <v>9</v>
      </c>
    </row>
    <row r="35" spans="1:6" ht="30.75">
      <c r="A35" s="1" t="s">
        <v>36</v>
      </c>
      <c r="B35" s="1" t="s">
        <v>46</v>
      </c>
      <c r="C35">
        <v>9.1999999999999993</v>
      </c>
      <c r="D35">
        <f>_xlfn.NUMBERVALUE(_xlfn.TEXTAFTER(Table1[[#This Row],[Season]], "_", -1), ".", ",") + 2</f>
        <v>4</v>
      </c>
      <c r="E35" s="5" t="s">
        <v>38</v>
      </c>
      <c r="F35" t="s">
        <v>9</v>
      </c>
    </row>
    <row r="36" spans="1:6" ht="30.75">
      <c r="A36" s="1" t="s">
        <v>36</v>
      </c>
      <c r="B36" s="1" t="s">
        <v>47</v>
      </c>
      <c r="C36">
        <v>8.3000000000000007</v>
      </c>
      <c r="D36">
        <f>_xlfn.NUMBERVALUE(_xlfn.TEXTAFTER(Table1[[#This Row],[Season]], "_", -1), ".", ",") + 2</f>
        <v>4</v>
      </c>
      <c r="E36" s="5" t="s">
        <v>38</v>
      </c>
      <c r="F36" t="s">
        <v>9</v>
      </c>
    </row>
    <row r="37" spans="1:6" ht="30.75">
      <c r="A37" s="1" t="s">
        <v>36</v>
      </c>
      <c r="B37" s="1" t="s">
        <v>48</v>
      </c>
      <c r="C37">
        <v>9.6</v>
      </c>
      <c r="D37">
        <f>_xlfn.NUMBERVALUE(_xlfn.TEXTAFTER(Table1[[#This Row],[Season]], "_", -1), ".", ",") + 2</f>
        <v>4</v>
      </c>
      <c r="E37" s="5" t="s">
        <v>38</v>
      </c>
      <c r="F37" t="s">
        <v>9</v>
      </c>
    </row>
    <row r="38" spans="1:6" ht="30.75">
      <c r="A38" s="1" t="s">
        <v>36</v>
      </c>
      <c r="B38" s="1" t="s">
        <v>49</v>
      </c>
      <c r="C38">
        <v>9.4</v>
      </c>
      <c r="D38">
        <f>_xlfn.NUMBERVALUE(_xlfn.TEXTAFTER(Table1[[#This Row],[Season]], "_", -1), ".", ",") + 2</f>
        <v>4</v>
      </c>
      <c r="E38" s="5" t="s">
        <v>38</v>
      </c>
      <c r="F38" t="s">
        <v>9</v>
      </c>
    </row>
    <row r="39" spans="1:6" ht="30.75">
      <c r="A39" s="1" t="s">
        <v>36</v>
      </c>
      <c r="B39" s="1" t="s">
        <v>50</v>
      </c>
      <c r="C39">
        <v>8.9</v>
      </c>
      <c r="D39">
        <f>_xlfn.NUMBERVALUE(_xlfn.TEXTAFTER(Table1[[#This Row],[Season]], "_", -1), ".", ",") + 2</f>
        <v>4</v>
      </c>
      <c r="E39" s="5" t="s">
        <v>38</v>
      </c>
      <c r="F39" t="s">
        <v>9</v>
      </c>
    </row>
    <row r="40" spans="1:6" ht="30.75">
      <c r="A40" s="1" t="s">
        <v>36</v>
      </c>
      <c r="B40" s="1" t="s">
        <v>51</v>
      </c>
      <c r="C40">
        <v>8.3000000000000007</v>
      </c>
      <c r="D40">
        <f>_xlfn.NUMBERVALUE(_xlfn.TEXTAFTER(Table1[[#This Row],[Season]], "_", -1), ".", ",") + 2</f>
        <v>4</v>
      </c>
      <c r="E40" s="5" t="s">
        <v>38</v>
      </c>
      <c r="F40" t="s">
        <v>9</v>
      </c>
    </row>
    <row r="41" spans="1:6" ht="30.75">
      <c r="A41" s="1" t="s">
        <v>36</v>
      </c>
      <c r="B41" s="1" t="s">
        <v>52</v>
      </c>
      <c r="C41">
        <v>9</v>
      </c>
      <c r="D41">
        <f>_xlfn.NUMBERVALUE(_xlfn.TEXTAFTER(Table1[[#This Row],[Season]], "_", -1), ".", ",") + 2</f>
        <v>4</v>
      </c>
      <c r="E41" s="5" t="s">
        <v>38</v>
      </c>
      <c r="F41" t="s">
        <v>9</v>
      </c>
    </row>
    <row r="42" spans="1:6" ht="30.75">
      <c r="A42" s="1" t="s">
        <v>36</v>
      </c>
      <c r="B42" s="1" t="s">
        <v>53</v>
      </c>
      <c r="C42">
        <v>8.9</v>
      </c>
      <c r="D42">
        <f>_xlfn.NUMBERVALUE(_xlfn.TEXTAFTER(Table1[[#This Row],[Season]], "_", -1), ".", ",") + 2</f>
        <v>4</v>
      </c>
      <c r="E42" s="5" t="s">
        <v>38</v>
      </c>
      <c r="F42" t="s">
        <v>9</v>
      </c>
    </row>
    <row r="43" spans="1:6" ht="30.75">
      <c r="A43" s="1" t="s">
        <v>36</v>
      </c>
      <c r="B43" s="1" t="s">
        <v>54</v>
      </c>
      <c r="C43">
        <v>8.4</v>
      </c>
      <c r="D43">
        <f>_xlfn.NUMBERVALUE(_xlfn.TEXTAFTER(Table1[[#This Row],[Season]], "_", -1), ".", ",") + 2</f>
        <v>4</v>
      </c>
      <c r="E43" s="5" t="s">
        <v>38</v>
      </c>
      <c r="F43" t="s">
        <v>9</v>
      </c>
    </row>
    <row r="44" spans="1:6" ht="30.75">
      <c r="A44" s="1" t="s">
        <v>36</v>
      </c>
      <c r="B44" s="1" t="s">
        <v>55</v>
      </c>
      <c r="C44">
        <v>9.1</v>
      </c>
      <c r="D44">
        <f>_xlfn.NUMBERVALUE(_xlfn.TEXTAFTER(Table1[[#This Row],[Season]], "_", -1), ".", ",") + 2</f>
        <v>4</v>
      </c>
      <c r="E44" s="5" t="s">
        <v>38</v>
      </c>
      <c r="F44" t="s">
        <v>9</v>
      </c>
    </row>
    <row r="45" spans="1:6" ht="30.75">
      <c r="A45" s="1" t="s">
        <v>36</v>
      </c>
      <c r="B45" s="1" t="s">
        <v>56</v>
      </c>
      <c r="C45">
        <v>9.3000000000000007</v>
      </c>
      <c r="D45">
        <f>_xlfn.NUMBERVALUE(_xlfn.TEXTAFTER(Table1[[#This Row],[Season]], "_", -1), ".", ",") + 2</f>
        <v>4</v>
      </c>
      <c r="E45" s="5" t="s">
        <v>38</v>
      </c>
      <c r="F45" t="s">
        <v>9</v>
      </c>
    </row>
    <row r="46" spans="1:6" ht="30.75">
      <c r="A46" s="1" t="s">
        <v>36</v>
      </c>
      <c r="B46" s="1" t="s">
        <v>57</v>
      </c>
      <c r="C46">
        <v>8.4</v>
      </c>
      <c r="D46">
        <f>_xlfn.NUMBERVALUE(_xlfn.TEXTAFTER(Table1[[#This Row],[Season]], "_", -1), ".", ",") + 2</f>
        <v>4</v>
      </c>
      <c r="E46" s="5" t="s">
        <v>38</v>
      </c>
      <c r="F46" t="s">
        <v>9</v>
      </c>
    </row>
    <row r="47" spans="1:6" ht="30.75">
      <c r="A47" s="1" t="s">
        <v>36</v>
      </c>
      <c r="B47" s="1" t="s">
        <v>58</v>
      </c>
      <c r="C47">
        <v>8.9</v>
      </c>
      <c r="D47">
        <f>_xlfn.NUMBERVALUE(_xlfn.TEXTAFTER(Table1[[#This Row],[Season]], "_", -1), ".", ",") + 2</f>
        <v>4</v>
      </c>
      <c r="E47" s="5" t="s">
        <v>38</v>
      </c>
      <c r="F47" t="s">
        <v>9</v>
      </c>
    </row>
    <row r="48" spans="1:6" ht="30.75">
      <c r="A48" s="1" t="s">
        <v>36</v>
      </c>
      <c r="B48" s="1" t="s">
        <v>59</v>
      </c>
      <c r="C48">
        <v>8.6999999999999993</v>
      </c>
      <c r="D48">
        <f>_xlfn.NUMBERVALUE(_xlfn.TEXTAFTER(Table1[[#This Row],[Season]], "_", -1), ".", ",") + 2</f>
        <v>4</v>
      </c>
      <c r="E48" s="5" t="s">
        <v>38</v>
      </c>
      <c r="F48" t="s">
        <v>9</v>
      </c>
    </row>
    <row r="49" spans="1:6" ht="30.75">
      <c r="A49" s="1" t="s">
        <v>36</v>
      </c>
      <c r="B49" s="1" t="s">
        <v>60</v>
      </c>
      <c r="C49">
        <v>9.6</v>
      </c>
      <c r="D49">
        <f>_xlfn.NUMBERVALUE(_xlfn.TEXTAFTER(Table1[[#This Row],[Season]], "_", -1), ".", ",") + 2</f>
        <v>4</v>
      </c>
      <c r="E49" s="5" t="s">
        <v>38</v>
      </c>
      <c r="F49" t="s">
        <v>9</v>
      </c>
    </row>
    <row r="50" spans="1:6" ht="30.75">
      <c r="A50" s="1" t="s">
        <v>36</v>
      </c>
      <c r="B50" s="1" t="s">
        <v>61</v>
      </c>
      <c r="C50">
        <v>9.6</v>
      </c>
      <c r="D50">
        <f>_xlfn.NUMBERVALUE(_xlfn.TEXTAFTER(Table1[[#This Row],[Season]], "_", -1), ".", ",") + 2</f>
        <v>4</v>
      </c>
      <c r="E50" s="5" t="s">
        <v>38</v>
      </c>
      <c r="F50" t="s">
        <v>9</v>
      </c>
    </row>
    <row r="51" spans="1:6" ht="30.75">
      <c r="A51" s="1" t="s">
        <v>36</v>
      </c>
      <c r="B51" s="1" t="s">
        <v>62</v>
      </c>
      <c r="C51">
        <v>9</v>
      </c>
      <c r="D51">
        <f>_xlfn.NUMBERVALUE(_xlfn.TEXTAFTER(Table1[[#This Row],[Season]], "_", -1), ".", ",") + 2</f>
        <v>4</v>
      </c>
      <c r="E51" s="5" t="s">
        <v>38</v>
      </c>
      <c r="F51" t="s">
        <v>9</v>
      </c>
    </row>
    <row r="52" spans="1:6">
      <c r="A52" s="1" t="s">
        <v>63</v>
      </c>
      <c r="B52" t="s">
        <v>64</v>
      </c>
      <c r="C52">
        <v>8.6999999999999993</v>
      </c>
      <c r="D52">
        <f>_xlfn.NUMBERVALUE(_xlfn.TEXTAFTER(Table1[[#This Row],[Season]], "_", -1), ".", ",") + 2</f>
        <v>5</v>
      </c>
      <c r="E52" t="s">
        <v>65</v>
      </c>
      <c r="F52" t="s">
        <v>9</v>
      </c>
    </row>
    <row r="53" spans="1:6">
      <c r="A53" s="1" t="s">
        <v>63</v>
      </c>
      <c r="B53" s="1" t="s">
        <v>66</v>
      </c>
      <c r="C53">
        <v>9.1999999999999993</v>
      </c>
      <c r="D53">
        <f>_xlfn.NUMBERVALUE(_xlfn.TEXTAFTER(Table1[[#This Row],[Season]], "_", -1), ".", ",") + 2</f>
        <v>5</v>
      </c>
      <c r="E53" s="1" t="s">
        <v>65</v>
      </c>
      <c r="F53" t="s">
        <v>9</v>
      </c>
    </row>
    <row r="54" spans="1:6">
      <c r="A54" s="1" t="s">
        <v>63</v>
      </c>
      <c r="B54" t="s">
        <v>67</v>
      </c>
      <c r="C54">
        <v>8.8000000000000007</v>
      </c>
      <c r="D54">
        <f>_xlfn.NUMBERVALUE(_xlfn.TEXTAFTER(Table1[[#This Row],[Season]], "_", -1), ".", ",") + 2</f>
        <v>5</v>
      </c>
      <c r="E54" s="1" t="s">
        <v>65</v>
      </c>
      <c r="F54" t="s">
        <v>9</v>
      </c>
    </row>
    <row r="55" spans="1:6">
      <c r="A55" s="1" t="s">
        <v>63</v>
      </c>
      <c r="B55" s="1" t="s">
        <v>68</v>
      </c>
      <c r="C55">
        <v>8.6</v>
      </c>
      <c r="D55">
        <f>_xlfn.NUMBERVALUE(_xlfn.TEXTAFTER(Table1[[#This Row],[Season]], "_", -1), ".", ",") + 2</f>
        <v>5</v>
      </c>
      <c r="E55" s="1" t="s">
        <v>65</v>
      </c>
      <c r="F55" t="s">
        <v>9</v>
      </c>
    </row>
    <row r="56" spans="1:6">
      <c r="A56" s="1" t="s">
        <v>63</v>
      </c>
      <c r="B56" s="1" t="s">
        <v>69</v>
      </c>
      <c r="C56">
        <v>9.1</v>
      </c>
      <c r="D56">
        <f>_xlfn.NUMBERVALUE(_xlfn.TEXTAFTER(Table1[[#This Row],[Season]], "_", -1), ".", ",") + 2</f>
        <v>5</v>
      </c>
      <c r="E56" s="1" t="s">
        <v>65</v>
      </c>
      <c r="F56" t="s">
        <v>9</v>
      </c>
    </row>
    <row r="57" spans="1:6">
      <c r="A57" s="1" t="s">
        <v>63</v>
      </c>
      <c r="B57" t="s">
        <v>70</v>
      </c>
      <c r="C57">
        <v>8.1</v>
      </c>
      <c r="D57">
        <f>_xlfn.NUMBERVALUE(_xlfn.TEXTAFTER(Table1[[#This Row],[Season]], "_", -1), ".", ",") + 2</f>
        <v>5</v>
      </c>
      <c r="E57" s="1" t="s">
        <v>65</v>
      </c>
      <c r="F57" t="s">
        <v>9</v>
      </c>
    </row>
    <row r="58" spans="1:6">
      <c r="A58" s="1" t="s">
        <v>63</v>
      </c>
      <c r="B58" s="1" t="s">
        <v>71</v>
      </c>
      <c r="C58">
        <v>9.1999999999999993</v>
      </c>
      <c r="D58">
        <f>_xlfn.NUMBERVALUE(_xlfn.TEXTAFTER(Table1[[#This Row],[Season]], "_", -1), ".", ",") + 2</f>
        <v>5</v>
      </c>
      <c r="E58" s="1" t="s">
        <v>65</v>
      </c>
      <c r="F58" t="s">
        <v>9</v>
      </c>
    </row>
    <row r="59" spans="1:6">
      <c r="A59" s="1" t="s">
        <v>63</v>
      </c>
      <c r="B59" s="1" t="s">
        <v>72</v>
      </c>
      <c r="C59">
        <v>8.6</v>
      </c>
      <c r="D59">
        <f>_xlfn.NUMBERVALUE(_xlfn.TEXTAFTER(Table1[[#This Row],[Season]], "_", -1), ".", ",") + 2</f>
        <v>5</v>
      </c>
      <c r="E59" s="1" t="s">
        <v>65</v>
      </c>
      <c r="F59" t="s">
        <v>9</v>
      </c>
    </row>
    <row r="60" spans="1:6">
      <c r="A60" s="1" t="s">
        <v>63</v>
      </c>
      <c r="B60" t="s">
        <v>73</v>
      </c>
      <c r="C60">
        <v>8.8000000000000007</v>
      </c>
      <c r="D60">
        <f>_xlfn.NUMBERVALUE(_xlfn.TEXTAFTER(Table1[[#This Row],[Season]], "_", -1), ".", ",") + 2</f>
        <v>5</v>
      </c>
      <c r="E60" s="1" t="s">
        <v>65</v>
      </c>
      <c r="F60" t="s">
        <v>9</v>
      </c>
    </row>
    <row r="61" spans="1:6">
      <c r="A61" s="1" t="s">
        <v>63</v>
      </c>
      <c r="B61" t="s">
        <v>74</v>
      </c>
      <c r="C61">
        <v>9.1</v>
      </c>
      <c r="D61">
        <f>_xlfn.NUMBERVALUE(_xlfn.TEXTAFTER(Table1[[#This Row],[Season]], "_", -1), ".", ",") + 2</f>
        <v>5</v>
      </c>
      <c r="E61" s="1" t="s">
        <v>65</v>
      </c>
      <c r="F61" t="s">
        <v>9</v>
      </c>
    </row>
    <row r="62" spans="1:6">
      <c r="A62" s="1" t="s">
        <v>63</v>
      </c>
      <c r="B62" t="s">
        <v>75</v>
      </c>
      <c r="C62">
        <v>8</v>
      </c>
      <c r="D62">
        <f>_xlfn.NUMBERVALUE(_xlfn.TEXTAFTER(Table1[[#This Row],[Season]], "_", -1), ".", ",") + 2</f>
        <v>5</v>
      </c>
      <c r="E62" s="1" t="s">
        <v>65</v>
      </c>
      <c r="F62" t="s">
        <v>9</v>
      </c>
    </row>
    <row r="63" spans="1:6">
      <c r="A63" s="1" t="s">
        <v>63</v>
      </c>
      <c r="B63" t="s">
        <v>76</v>
      </c>
      <c r="C63">
        <v>9.4</v>
      </c>
      <c r="D63">
        <f>_xlfn.NUMBERVALUE(_xlfn.TEXTAFTER(Table1[[#This Row],[Season]], "_", -1), ".", ",") + 2</f>
        <v>5</v>
      </c>
      <c r="E63" s="1" t="s">
        <v>65</v>
      </c>
      <c r="F63" t="s">
        <v>9</v>
      </c>
    </row>
    <row r="64" spans="1:6">
      <c r="A64" s="1" t="s">
        <v>63</v>
      </c>
      <c r="B64" t="s">
        <v>77</v>
      </c>
      <c r="C64">
        <v>9.5</v>
      </c>
      <c r="D64">
        <f>_xlfn.NUMBERVALUE(_xlfn.TEXTAFTER(Table1[[#This Row],[Season]], "_", -1), ".", ",") + 2</f>
        <v>5</v>
      </c>
      <c r="E64" s="1" t="s">
        <v>65</v>
      </c>
      <c r="F64" t="s">
        <v>9</v>
      </c>
    </row>
    <row r="65" spans="1:6">
      <c r="A65" s="1" t="s">
        <v>63</v>
      </c>
      <c r="B65" t="s">
        <v>78</v>
      </c>
      <c r="C65">
        <v>9.1999999999999993</v>
      </c>
      <c r="D65">
        <f>_xlfn.NUMBERVALUE(_xlfn.TEXTAFTER(Table1[[#This Row],[Season]], "_", -1), ".", ",") + 2</f>
        <v>5</v>
      </c>
      <c r="E65" s="1" t="s">
        <v>65</v>
      </c>
      <c r="F65" t="s">
        <v>9</v>
      </c>
    </row>
    <row r="66" spans="1:6">
      <c r="A66" s="1" t="s">
        <v>63</v>
      </c>
      <c r="B66" t="s">
        <v>79</v>
      </c>
      <c r="C66">
        <v>8.6999999999999993</v>
      </c>
      <c r="D66">
        <f>_xlfn.NUMBERVALUE(_xlfn.TEXTAFTER(Table1[[#This Row],[Season]], "_", -1), ".", ",") + 2</f>
        <v>5</v>
      </c>
      <c r="E66" s="1" t="s">
        <v>65</v>
      </c>
      <c r="F66" t="s">
        <v>9</v>
      </c>
    </row>
    <row r="67" spans="1:6">
      <c r="A67" s="1" t="s">
        <v>63</v>
      </c>
      <c r="B67" t="s">
        <v>80</v>
      </c>
      <c r="C67">
        <v>8.9</v>
      </c>
      <c r="D67">
        <f>_xlfn.NUMBERVALUE(_xlfn.TEXTAFTER(Table1[[#This Row],[Season]], "_", -1), ".", ",") + 2</f>
        <v>5</v>
      </c>
      <c r="E67" s="1" t="s">
        <v>65</v>
      </c>
      <c r="F67" t="s">
        <v>9</v>
      </c>
    </row>
    <row r="68" spans="1:6" ht="30.75">
      <c r="A68" t="s">
        <v>81</v>
      </c>
      <c r="B68" t="s">
        <v>82</v>
      </c>
      <c r="C68">
        <v>8.6</v>
      </c>
      <c r="D68">
        <v>6</v>
      </c>
      <c r="E68" s="4" t="s">
        <v>83</v>
      </c>
      <c r="F68" t="s">
        <v>9</v>
      </c>
    </row>
    <row r="69" spans="1:6" ht="30.75">
      <c r="A69" s="1" t="s">
        <v>81</v>
      </c>
      <c r="B69" t="s">
        <v>84</v>
      </c>
      <c r="C69">
        <v>9.5</v>
      </c>
      <c r="D69">
        <f>_xlfn.NUMBERVALUE(_xlfn.TEXTAFTER(Table1[[#This Row],[Season]], "_", -1), ".", ",") + 2</f>
        <v>6</v>
      </c>
      <c r="E69" s="5" t="s">
        <v>83</v>
      </c>
      <c r="F69" t="s">
        <v>9</v>
      </c>
    </row>
    <row r="70" spans="1:6" ht="30.75">
      <c r="A70" s="1" t="s">
        <v>81</v>
      </c>
      <c r="B70" t="s">
        <v>85</v>
      </c>
      <c r="C70">
        <v>9.8000000000000007</v>
      </c>
      <c r="D70">
        <f>_xlfn.NUMBERVALUE(_xlfn.TEXTAFTER(Table1[[#This Row],[Season]], "_", -1), ".", ",") + 2</f>
        <v>6</v>
      </c>
      <c r="E70" s="5" t="s">
        <v>83</v>
      </c>
      <c r="F70" t="s">
        <v>9</v>
      </c>
    </row>
    <row r="71" spans="1:6" ht="30.75">
      <c r="A71" s="1" t="s">
        <v>81</v>
      </c>
      <c r="B71" t="s">
        <v>86</v>
      </c>
      <c r="C71">
        <v>8.8000000000000007</v>
      </c>
      <c r="D71">
        <f>_xlfn.NUMBERVALUE(_xlfn.TEXTAFTER(Table1[[#This Row],[Season]], "_", -1), ".", ",") + 2</f>
        <v>6</v>
      </c>
      <c r="E71" s="5" t="s">
        <v>83</v>
      </c>
      <c r="F71" t="s">
        <v>9</v>
      </c>
    </row>
    <row r="72" spans="1:6" ht="30.75">
      <c r="A72" s="1" t="s">
        <v>81</v>
      </c>
      <c r="B72" t="s">
        <v>87</v>
      </c>
      <c r="C72">
        <v>8.6999999999999993</v>
      </c>
      <c r="D72">
        <f>_xlfn.NUMBERVALUE(_xlfn.TEXTAFTER(Table1[[#This Row],[Season]], "_", -1), ".", ",") + 2</f>
        <v>6</v>
      </c>
      <c r="E72" s="5" t="s">
        <v>83</v>
      </c>
      <c r="F72" t="s">
        <v>9</v>
      </c>
    </row>
    <row r="73" spans="1:6" ht="30.75">
      <c r="A73" s="1" t="s">
        <v>81</v>
      </c>
      <c r="B73" t="s">
        <v>88</v>
      </c>
      <c r="C73">
        <v>8.6999999999999993</v>
      </c>
      <c r="D73">
        <f>_xlfn.NUMBERVALUE(_xlfn.TEXTAFTER(Table1[[#This Row],[Season]], "_", -1), ".", ",") + 2</f>
        <v>6</v>
      </c>
      <c r="E73" s="5" t="s">
        <v>83</v>
      </c>
      <c r="F73" t="s">
        <v>9</v>
      </c>
    </row>
    <row r="74" spans="1:6" ht="30.75">
      <c r="A74" s="1" t="s">
        <v>81</v>
      </c>
      <c r="B74" t="s">
        <v>89</v>
      </c>
      <c r="C74">
        <v>9.5</v>
      </c>
      <c r="D74">
        <f>_xlfn.NUMBERVALUE(_xlfn.TEXTAFTER(Table1[[#This Row],[Season]], "_", -1), ".", ",") + 2</f>
        <v>6</v>
      </c>
      <c r="E74" s="5" t="s">
        <v>83</v>
      </c>
      <c r="F74" t="s">
        <v>9</v>
      </c>
    </row>
    <row r="75" spans="1:6" ht="30.75">
      <c r="A75" s="1" t="s">
        <v>81</v>
      </c>
      <c r="B75" t="s">
        <v>90</v>
      </c>
      <c r="C75">
        <v>9.1</v>
      </c>
      <c r="D75">
        <f>_xlfn.NUMBERVALUE(_xlfn.TEXTAFTER(Table1[[#This Row],[Season]], "_", -1), ".", ",") + 2</f>
        <v>6</v>
      </c>
      <c r="E75" s="5" t="s">
        <v>83</v>
      </c>
      <c r="F75" t="s">
        <v>9</v>
      </c>
    </row>
    <row r="76" spans="1:6" ht="30.75">
      <c r="A76" s="1" t="s">
        <v>81</v>
      </c>
      <c r="B76" t="s">
        <v>91</v>
      </c>
      <c r="C76">
        <v>9.9</v>
      </c>
      <c r="D76">
        <f>_xlfn.NUMBERVALUE(_xlfn.TEXTAFTER(Table1[[#This Row],[Season]], "_", -1), ".", ",") + 2</f>
        <v>6</v>
      </c>
      <c r="E76" s="5" t="s">
        <v>83</v>
      </c>
      <c r="F76" t="s">
        <v>9</v>
      </c>
    </row>
    <row r="77" spans="1:6" ht="30.75">
      <c r="A77" s="1" t="s">
        <v>81</v>
      </c>
      <c r="B77" t="s">
        <v>92</v>
      </c>
      <c r="C77">
        <v>9.8000000000000007</v>
      </c>
      <c r="D77">
        <f>_xlfn.NUMBERVALUE(_xlfn.TEXTAFTER(Table1[[#This Row],[Season]], "_", -1), ".", ",") + 2</f>
        <v>6</v>
      </c>
      <c r="E77" s="5" t="s">
        <v>83</v>
      </c>
      <c r="F77" t="s">
        <v>9</v>
      </c>
    </row>
    <row r="78" spans="1:6" ht="30.75">
      <c r="A78" s="1" t="s">
        <v>81</v>
      </c>
      <c r="B78" t="s">
        <v>93</v>
      </c>
      <c r="C78" s="1"/>
      <c r="D78">
        <f>_xlfn.NUMBERVALUE(_xlfn.TEXTAFTER(Table1[[#This Row],[Season]], "_", -1), ".", ",") + 2</f>
        <v>6</v>
      </c>
      <c r="E78" s="5" t="s">
        <v>83</v>
      </c>
      <c r="F78" t="s">
        <v>94</v>
      </c>
    </row>
    <row r="79" spans="1:6" ht="30.75">
      <c r="A79" s="1" t="s">
        <v>81</v>
      </c>
      <c r="B79" t="s">
        <v>95</v>
      </c>
      <c r="C79" s="1"/>
      <c r="D79">
        <f>_xlfn.NUMBERVALUE(_xlfn.TEXTAFTER(Table1[[#This Row],[Season]], "_", -1), ".", ",") + 2</f>
        <v>6</v>
      </c>
      <c r="E79" s="5" t="s">
        <v>83</v>
      </c>
      <c r="F79" t="s">
        <v>94</v>
      </c>
    </row>
    <row r="80" spans="1:6" ht="30.75">
      <c r="A80" s="1" t="s">
        <v>81</v>
      </c>
      <c r="B80" t="s">
        <v>96</v>
      </c>
      <c r="C80" s="1"/>
      <c r="D80">
        <f>_xlfn.NUMBERVALUE(_xlfn.TEXTAFTER(Table1[[#This Row],[Season]], "_", -1), ".", ",") + 2</f>
        <v>6</v>
      </c>
      <c r="E80" s="5" t="s">
        <v>83</v>
      </c>
      <c r="F80" t="s">
        <v>94</v>
      </c>
    </row>
    <row r="81" spans="1:6" ht="30.75">
      <c r="A81" s="1" t="s">
        <v>81</v>
      </c>
      <c r="B81" t="s">
        <v>97</v>
      </c>
      <c r="C81" s="1"/>
      <c r="D81">
        <f>_xlfn.NUMBERVALUE(_xlfn.TEXTAFTER(Table1[[#This Row],[Season]], "_", -1), ".", ",") + 2</f>
        <v>6</v>
      </c>
      <c r="E81" s="5" t="s">
        <v>83</v>
      </c>
      <c r="F81" t="s">
        <v>94</v>
      </c>
    </row>
    <row r="82" spans="1:6" ht="30.75">
      <c r="A82" s="1" t="s">
        <v>81</v>
      </c>
      <c r="B82" t="s">
        <v>98</v>
      </c>
      <c r="C82" s="1"/>
      <c r="D82">
        <f>_xlfn.NUMBERVALUE(_xlfn.TEXTAFTER(Table1[[#This Row],[Season]], "_", -1), ".", ",") + 2</f>
        <v>6</v>
      </c>
      <c r="E82" s="5" t="s">
        <v>83</v>
      </c>
      <c r="F82" t="s">
        <v>94</v>
      </c>
    </row>
    <row r="83" spans="1:6" ht="30.75">
      <c r="A83" s="1" t="s">
        <v>81</v>
      </c>
      <c r="B83" t="s">
        <v>99</v>
      </c>
      <c r="C83" s="1"/>
      <c r="D83">
        <f>_xlfn.NUMBERVALUE(_xlfn.TEXTAFTER(Table1[[#This Row],[Season]], "_", -1), ".", ",") + 2</f>
        <v>6</v>
      </c>
      <c r="E83" s="5" t="s">
        <v>83</v>
      </c>
      <c r="F83" t="s">
        <v>94</v>
      </c>
    </row>
    <row r="84" spans="1:6" ht="30.75">
      <c r="A84" s="1" t="s">
        <v>81</v>
      </c>
      <c r="B84" t="s">
        <v>100</v>
      </c>
      <c r="C84" s="1"/>
      <c r="D84">
        <f>_xlfn.NUMBERVALUE(_xlfn.TEXTAFTER(Table1[[#This Row],[Season]], "_", -1), ".", ",") + 2</f>
        <v>6</v>
      </c>
      <c r="E84" s="5" t="s">
        <v>83</v>
      </c>
      <c r="F84" t="s">
        <v>94</v>
      </c>
    </row>
    <row r="85" spans="1:6" ht="30.75">
      <c r="A85" s="1" t="s">
        <v>81</v>
      </c>
      <c r="B85" t="s">
        <v>101</v>
      </c>
      <c r="C85" s="1"/>
      <c r="D85">
        <f>_xlfn.NUMBERVALUE(_xlfn.TEXTAFTER(Table1[[#This Row],[Season]], "_", -1), ".", ",") + 2</f>
        <v>6</v>
      </c>
      <c r="E85" s="5" t="s">
        <v>83</v>
      </c>
      <c r="F85" t="s">
        <v>94</v>
      </c>
    </row>
    <row r="86" spans="1:6" ht="30.75">
      <c r="A86" s="1" t="s">
        <v>81</v>
      </c>
      <c r="B86" t="s">
        <v>102</v>
      </c>
      <c r="C86" s="1"/>
      <c r="D86">
        <f>_xlfn.NUMBERVALUE(_xlfn.TEXTAFTER(Table1[[#This Row],[Season]], "_", -1), ".", ",") + 2</f>
        <v>6</v>
      </c>
      <c r="E86" s="5" t="s">
        <v>83</v>
      </c>
      <c r="F86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8312-3B07-4C33-BE9B-2E777A58EBB9}">
  <dimension ref="A1:F24"/>
  <sheetViews>
    <sheetView workbookViewId="0">
      <selection activeCell="E22" sqref="E22"/>
    </sheetView>
  </sheetViews>
  <sheetFormatPr defaultRowHeight="15"/>
  <cols>
    <col min="1" max="1" width="12.140625" bestFit="1" customWidth="1"/>
    <col min="2" max="2" width="12.85546875" bestFit="1" customWidth="1"/>
    <col min="3" max="4" width="11.140625" bestFit="1" customWidth="1"/>
    <col min="5" max="5" width="36.5703125" bestFit="1" customWidth="1"/>
    <col min="6" max="6" width="22.28515625" bestFit="1" customWidth="1"/>
  </cols>
  <sheetData>
    <row r="1" spans="1:6">
      <c r="A1" t="s">
        <v>103</v>
      </c>
      <c r="B1" t="s">
        <v>1</v>
      </c>
      <c r="C1" t="s">
        <v>0</v>
      </c>
      <c r="D1" t="s">
        <v>3</v>
      </c>
      <c r="E1" t="s">
        <v>104</v>
      </c>
      <c r="F1" t="s">
        <v>105</v>
      </c>
    </row>
    <row r="2" spans="1:6">
      <c r="A2">
        <v>1</v>
      </c>
      <c r="B2" t="s">
        <v>7</v>
      </c>
      <c r="C2" t="str">
        <f>LEFT(Table2[[#This Row],[Episode_id]]) &amp; "eason_" &amp; MID(Table2[[#This Row],[Episode_id]], 2, 1)</f>
        <v>Season_1</v>
      </c>
      <c r="D2">
        <v>1</v>
      </c>
      <c r="E2" t="s">
        <v>106</v>
      </c>
      <c r="F2" t="s">
        <v>107</v>
      </c>
    </row>
    <row r="3" spans="1:6">
      <c r="A3">
        <v>2</v>
      </c>
      <c r="B3" t="s">
        <v>7</v>
      </c>
      <c r="C3" s="1" t="str">
        <f>LEFT(Table2[[#This Row],[Episode_id]]) &amp; "eason_" &amp; MID(Table2[[#This Row],[Episode_id]], 2, 1)</f>
        <v>Season_1</v>
      </c>
      <c r="D3">
        <v>1</v>
      </c>
      <c r="E3" s="1" t="s">
        <v>106</v>
      </c>
      <c r="F3" s="1" t="s">
        <v>107</v>
      </c>
    </row>
    <row r="4" spans="1:6">
      <c r="A4">
        <v>3</v>
      </c>
      <c r="B4" t="s">
        <v>10</v>
      </c>
      <c r="C4" s="1" t="str">
        <f>LEFT(Table2[[#This Row],[Episode_id]]) &amp; "eason_" &amp; MID(Table2[[#This Row],[Episode_id]], 2, 1)</f>
        <v>Season_1</v>
      </c>
      <c r="D4">
        <v>1</v>
      </c>
      <c r="E4" t="s">
        <v>108</v>
      </c>
      <c r="F4" t="s">
        <v>109</v>
      </c>
    </row>
    <row r="5" spans="1:6">
      <c r="A5">
        <v>4</v>
      </c>
      <c r="B5" t="s">
        <v>12</v>
      </c>
      <c r="C5" s="1" t="str">
        <f>LEFT(Table2[[#This Row],[Episode_id]]) &amp; "eason_" &amp; MID(Table2[[#This Row],[Episode_id]], 2, 1)</f>
        <v>Season_1</v>
      </c>
      <c r="D5">
        <v>2</v>
      </c>
      <c r="E5" t="s">
        <v>110</v>
      </c>
      <c r="F5" t="s">
        <v>111</v>
      </c>
    </row>
    <row r="6" spans="1:6">
      <c r="A6">
        <v>5</v>
      </c>
      <c r="B6" t="s">
        <v>14</v>
      </c>
      <c r="C6" s="1" t="str">
        <f>LEFT(Table2[[#This Row],[Episode_id]]) &amp; "eason_" &amp; MID(Table2[[#This Row],[Episode_id]], 2, 1)</f>
        <v>Season_1</v>
      </c>
      <c r="D6">
        <v>2</v>
      </c>
      <c r="E6" t="s">
        <v>112</v>
      </c>
      <c r="F6" t="s">
        <v>113</v>
      </c>
    </row>
    <row r="7" spans="1:6">
      <c r="A7">
        <v>6</v>
      </c>
      <c r="B7" t="s">
        <v>16</v>
      </c>
      <c r="C7" s="1" t="str">
        <f>LEFT(Table2[[#This Row],[Episode_id]]) &amp; "eason_" &amp; MID(Table2[[#This Row],[Episode_id]], 2, 1)</f>
        <v>Season_1</v>
      </c>
      <c r="D7">
        <v>2</v>
      </c>
      <c r="E7" t="s">
        <v>114</v>
      </c>
      <c r="F7" t="s">
        <v>115</v>
      </c>
    </row>
    <row r="8" spans="1:6">
      <c r="A8">
        <v>7</v>
      </c>
      <c r="B8" t="s">
        <v>16</v>
      </c>
      <c r="C8" s="1" t="str">
        <f>LEFT(Table2[[#This Row],[Episode_id]]) &amp; "eason_" &amp; MID(Table2[[#This Row],[Episode_id]], 2, 1)</f>
        <v>Season_1</v>
      </c>
      <c r="D8">
        <v>2</v>
      </c>
      <c r="E8" t="s">
        <v>116</v>
      </c>
      <c r="F8" t="s">
        <v>117</v>
      </c>
    </row>
    <row r="9" spans="1:6">
      <c r="A9">
        <v>8</v>
      </c>
      <c r="B9" t="s">
        <v>25</v>
      </c>
      <c r="C9" s="1" t="str">
        <f>LEFT(Table2[[#This Row],[Episode_id]]) &amp; "eason_" &amp; MID(Table2[[#This Row],[Episode_id]], 2, 1)</f>
        <v>Season_1</v>
      </c>
      <c r="D9">
        <v>3</v>
      </c>
      <c r="E9" t="s">
        <v>118</v>
      </c>
      <c r="F9" t="s">
        <v>119</v>
      </c>
    </row>
    <row r="10" spans="1:6">
      <c r="A10">
        <v>9</v>
      </c>
      <c r="B10" t="s">
        <v>25</v>
      </c>
      <c r="C10" s="1" t="str">
        <f>LEFT(Table2[[#This Row],[Episode_id]]) &amp; "eason_" &amp; MID(Table2[[#This Row],[Episode_id]], 2, 1)</f>
        <v>Season_1</v>
      </c>
      <c r="D10">
        <v>3</v>
      </c>
      <c r="E10" s="1" t="s">
        <v>118</v>
      </c>
      <c r="F10" t="s">
        <v>119</v>
      </c>
    </row>
    <row r="11" spans="1:6">
      <c r="A11">
        <v>10</v>
      </c>
      <c r="B11" t="s">
        <v>28</v>
      </c>
      <c r="C11" s="1" t="str">
        <f>LEFT(Table2[[#This Row],[Episode_id]]) &amp; "eason_" &amp; MID(Table2[[#This Row],[Episode_id]], 2, 1)</f>
        <v>Season_1</v>
      </c>
      <c r="D11">
        <v>3</v>
      </c>
      <c r="E11" s="1" t="s">
        <v>118</v>
      </c>
      <c r="F11" t="s">
        <v>119</v>
      </c>
    </row>
    <row r="12" spans="1:6">
      <c r="A12">
        <v>11</v>
      </c>
      <c r="B12" t="s">
        <v>33</v>
      </c>
      <c r="C12" s="1" t="str">
        <f>LEFT(Table2[[#This Row],[Episode_id]]) &amp; "eason_" &amp; MID(Table2[[#This Row],[Episode_id]], 2, 1)</f>
        <v>Season_1</v>
      </c>
      <c r="D12">
        <v>3</v>
      </c>
      <c r="E12" t="s">
        <v>120</v>
      </c>
      <c r="F12" t="s">
        <v>121</v>
      </c>
    </row>
    <row r="13" spans="1:6">
      <c r="A13">
        <v>12</v>
      </c>
      <c r="B13" t="s">
        <v>37</v>
      </c>
      <c r="C13" s="1" t="str">
        <f>LEFT(Table2[[#This Row],[Episode_id]]) &amp; "eason_" &amp; MID(Table2[[#This Row],[Episode_id]], 2, 1)</f>
        <v>Season_2</v>
      </c>
      <c r="D13">
        <v>4</v>
      </c>
      <c r="E13" t="s">
        <v>122</v>
      </c>
      <c r="F13" t="s">
        <v>117</v>
      </c>
    </row>
    <row r="14" spans="1:6">
      <c r="A14">
        <v>13</v>
      </c>
      <c r="B14" t="s">
        <v>42</v>
      </c>
      <c r="C14" s="1" t="str">
        <f>LEFT(Table2[[#This Row],[Episode_id]]) &amp; "eason_" &amp; MID(Table2[[#This Row],[Episode_id]], 2, 1)</f>
        <v>Season_2</v>
      </c>
      <c r="D14">
        <v>4</v>
      </c>
      <c r="E14" t="s">
        <v>123</v>
      </c>
      <c r="F14" t="s">
        <v>107</v>
      </c>
    </row>
    <row r="15" spans="1:6">
      <c r="A15">
        <v>14</v>
      </c>
      <c r="B15" t="s">
        <v>44</v>
      </c>
      <c r="C15" s="1" t="str">
        <f>LEFT(Table2[[#This Row],[Episode_id]]) &amp; "eason_" &amp; MID(Table2[[#This Row],[Episode_id]], 2, 1)</f>
        <v>Season_2</v>
      </c>
      <c r="D15">
        <v>4</v>
      </c>
      <c r="E15" s="1" t="s">
        <v>123</v>
      </c>
      <c r="F15" t="s">
        <v>107</v>
      </c>
    </row>
    <row r="16" spans="1:6">
      <c r="A16">
        <v>15</v>
      </c>
      <c r="B16" t="s">
        <v>45</v>
      </c>
      <c r="C16" s="1" t="str">
        <f>LEFT(Table2[[#This Row],[Episode_id]]) &amp; "eason_" &amp; MID(Table2[[#This Row],[Episode_id]], 2, 1)</f>
        <v>Season_2</v>
      </c>
      <c r="D16">
        <v>4</v>
      </c>
      <c r="E16" t="s">
        <v>124</v>
      </c>
      <c r="F16" t="s">
        <v>125</v>
      </c>
    </row>
    <row r="17" spans="1:6">
      <c r="A17">
        <v>16</v>
      </c>
      <c r="B17" t="s">
        <v>47</v>
      </c>
      <c r="C17" t="str">
        <f>LEFT(Table2[[#This Row],[Episode_id]]) &amp; "eason_" &amp; MID(Table2[[#This Row],[Episode_id]], 2, 1)</f>
        <v>Season_2</v>
      </c>
      <c r="D17">
        <v>4</v>
      </c>
      <c r="E17" t="s">
        <v>126</v>
      </c>
      <c r="F17" t="s">
        <v>127</v>
      </c>
    </row>
    <row r="18" spans="1:6">
      <c r="A18">
        <v>17</v>
      </c>
      <c r="B18" t="s">
        <v>48</v>
      </c>
      <c r="C18" t="str">
        <f>LEFT(Table2[[#This Row],[Episode_id]]) &amp; "eason_" &amp; MID(Table2[[#This Row],[Episode_id]], 2, 1)</f>
        <v>Season_2</v>
      </c>
      <c r="D18">
        <v>4</v>
      </c>
      <c r="E18" t="s">
        <v>128</v>
      </c>
      <c r="F18" t="s">
        <v>125</v>
      </c>
    </row>
    <row r="19" spans="1:6">
      <c r="A19">
        <v>18</v>
      </c>
      <c r="B19" t="s">
        <v>64</v>
      </c>
      <c r="C19" t="str">
        <f>LEFT(Table2[[#This Row],[Episode_id]]) &amp; "eason_" &amp; MID(Table2[[#This Row],[Episode_id]], 2, 1)</f>
        <v>Season_3</v>
      </c>
      <c r="D19">
        <v>5</v>
      </c>
      <c r="E19" t="s">
        <v>129</v>
      </c>
      <c r="F19" t="s">
        <v>130</v>
      </c>
    </row>
    <row r="20" spans="1:6">
      <c r="A20">
        <v>19</v>
      </c>
      <c r="B20" t="s">
        <v>66</v>
      </c>
      <c r="C20" t="str">
        <f>LEFT(Table2[[#This Row],[Episode_id]]) &amp; "eason_" &amp; MID(Table2[[#This Row],[Episode_id]], 2, 1)</f>
        <v>Season_3</v>
      </c>
      <c r="D20">
        <v>5</v>
      </c>
      <c r="E20" t="s">
        <v>131</v>
      </c>
      <c r="F20" t="s">
        <v>132</v>
      </c>
    </row>
    <row r="21" spans="1:6" ht="30.75">
      <c r="A21">
        <v>20</v>
      </c>
      <c r="B21" t="s">
        <v>66</v>
      </c>
      <c r="C21" t="str">
        <f>LEFT(Table2[[#This Row],[Episode_id]]) &amp; "eason_" &amp; MID(Table2[[#This Row],[Episode_id]], 2, 1)</f>
        <v>Season_3</v>
      </c>
      <c r="D21">
        <v>5</v>
      </c>
      <c r="E21" s="4" t="s">
        <v>133</v>
      </c>
      <c r="F21" t="s">
        <v>132</v>
      </c>
    </row>
    <row r="22" spans="1:6">
      <c r="A22">
        <v>21</v>
      </c>
      <c r="B22" t="s">
        <v>84</v>
      </c>
      <c r="C22" t="str">
        <f>LEFT(Table2[[#This Row],[Episode_id]]) &amp; "eason_" &amp; MID(Table2[[#This Row],[Episode_id]], 2, 1)</f>
        <v>Season_4</v>
      </c>
      <c r="D22">
        <v>6</v>
      </c>
      <c r="E22" t="s">
        <v>134</v>
      </c>
      <c r="F22" t="s">
        <v>135</v>
      </c>
    </row>
    <row r="23" spans="1:6">
      <c r="A23">
        <v>22</v>
      </c>
      <c r="B23" t="s">
        <v>84</v>
      </c>
      <c r="C23" t="str">
        <f>LEFT(Table2[[#This Row],[Episode_id]]) &amp; "eason_" &amp; MID(Table2[[#This Row],[Episode_id]], 2, 1)</f>
        <v>Season_4</v>
      </c>
      <c r="D23">
        <v>6</v>
      </c>
      <c r="E23" t="s">
        <v>134</v>
      </c>
      <c r="F23" t="s">
        <v>135</v>
      </c>
    </row>
    <row r="24" spans="1:6">
      <c r="A24">
        <v>23</v>
      </c>
      <c r="B24" t="s">
        <v>85</v>
      </c>
      <c r="C24" t="str">
        <f>LEFT(Table2[[#This Row],[Episode_id]]) &amp; "eason_" &amp; MID(Table2[[#This Row],[Episode_id]], 2, 1)</f>
        <v>Season_4</v>
      </c>
      <c r="D24">
        <v>6</v>
      </c>
      <c r="E24" t="s">
        <v>124</v>
      </c>
      <c r="F24" t="s">
        <v>136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C4C1-721A-4CCE-B3FF-A9A3E4AC08BE}">
  <dimension ref="A1:G28"/>
  <sheetViews>
    <sheetView workbookViewId="0">
      <selection activeCell="H1" sqref="H1"/>
    </sheetView>
  </sheetViews>
  <sheetFormatPr defaultRowHeight="15"/>
  <cols>
    <col min="1" max="1" width="14.5703125" bestFit="1" customWidth="1"/>
    <col min="2" max="2" width="24.140625" bestFit="1" customWidth="1"/>
    <col min="3" max="3" width="11.140625" bestFit="1" customWidth="1"/>
    <col min="4" max="4" width="12.42578125" bestFit="1" customWidth="1"/>
    <col min="5" max="5" width="14.7109375" bestFit="1" customWidth="1"/>
    <col min="6" max="6" width="18.28515625" bestFit="1" customWidth="1"/>
    <col min="7" max="7" width="19.28515625" bestFit="1" customWidth="1"/>
    <col min="8" max="8" width="11.140625" bestFit="1" customWidth="1"/>
  </cols>
  <sheetData>
    <row r="1" spans="1:7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</row>
    <row r="2" spans="1:7">
      <c r="A2">
        <v>1</v>
      </c>
      <c r="B2" t="s">
        <v>144</v>
      </c>
      <c r="C2" t="s">
        <v>145</v>
      </c>
      <c r="D2" t="s">
        <v>146</v>
      </c>
      <c r="E2" t="s">
        <v>147</v>
      </c>
      <c r="F2">
        <v>23721</v>
      </c>
      <c r="G2" t="s">
        <v>148</v>
      </c>
    </row>
    <row r="3" spans="1:7">
      <c r="A3">
        <v>2</v>
      </c>
      <c r="B3" t="s">
        <v>149</v>
      </c>
      <c r="C3" t="s">
        <v>150</v>
      </c>
      <c r="D3" t="s">
        <v>151</v>
      </c>
      <c r="E3" t="s">
        <v>147</v>
      </c>
      <c r="F3">
        <v>23314</v>
      </c>
      <c r="G3" s="1" t="s">
        <v>148</v>
      </c>
    </row>
    <row r="4" spans="1:7">
      <c r="A4">
        <v>3</v>
      </c>
      <c r="B4" t="s">
        <v>113</v>
      </c>
      <c r="C4" t="s">
        <v>150</v>
      </c>
      <c r="D4" t="s">
        <v>152</v>
      </c>
      <c r="E4" t="s">
        <v>147</v>
      </c>
      <c r="F4">
        <v>46405</v>
      </c>
      <c r="G4" s="1" t="s">
        <v>148</v>
      </c>
    </row>
    <row r="5" spans="1:7">
      <c r="A5">
        <v>4</v>
      </c>
      <c r="B5" t="s">
        <v>153</v>
      </c>
      <c r="C5" t="s">
        <v>150</v>
      </c>
      <c r="D5" t="s">
        <v>152</v>
      </c>
      <c r="E5" t="s">
        <v>147</v>
      </c>
      <c r="F5">
        <v>2688</v>
      </c>
      <c r="G5" s="1" t="s">
        <v>148</v>
      </c>
    </row>
    <row r="6" spans="1:7">
      <c r="A6">
        <v>5</v>
      </c>
      <c r="B6" t="s">
        <v>154</v>
      </c>
      <c r="C6" t="s">
        <v>150</v>
      </c>
      <c r="D6" t="s">
        <v>155</v>
      </c>
      <c r="E6" t="s">
        <v>147</v>
      </c>
      <c r="F6">
        <v>3921</v>
      </c>
      <c r="G6" s="1" t="s">
        <v>148</v>
      </c>
    </row>
    <row r="7" spans="1:7">
      <c r="A7">
        <v>6</v>
      </c>
      <c r="B7" t="s">
        <v>156</v>
      </c>
      <c r="C7" t="s">
        <v>145</v>
      </c>
      <c r="D7" t="s">
        <v>146</v>
      </c>
      <c r="E7" t="s">
        <v>147</v>
      </c>
      <c r="F7">
        <v>1166</v>
      </c>
      <c r="G7" s="1" t="s">
        <v>148</v>
      </c>
    </row>
    <row r="8" spans="1:7">
      <c r="A8">
        <v>7</v>
      </c>
      <c r="B8" t="s">
        <v>157</v>
      </c>
      <c r="C8" t="s">
        <v>145</v>
      </c>
      <c r="D8" t="s">
        <v>158</v>
      </c>
      <c r="E8" t="s">
        <v>147</v>
      </c>
      <c r="F8">
        <v>352</v>
      </c>
      <c r="G8" s="1" t="s">
        <v>148</v>
      </c>
    </row>
    <row r="9" spans="1:7">
      <c r="A9">
        <v>8</v>
      </c>
      <c r="B9" t="s">
        <v>159</v>
      </c>
      <c r="C9" t="s">
        <v>145</v>
      </c>
      <c r="D9" t="s">
        <v>146</v>
      </c>
      <c r="E9" t="s">
        <v>147</v>
      </c>
      <c r="F9">
        <v>542</v>
      </c>
      <c r="G9" s="1" t="s">
        <v>148</v>
      </c>
    </row>
    <row r="10" spans="1:7">
      <c r="A10">
        <v>9</v>
      </c>
      <c r="B10" t="s">
        <v>160</v>
      </c>
      <c r="C10" t="s">
        <v>150</v>
      </c>
      <c r="D10" t="s">
        <v>146</v>
      </c>
      <c r="E10" t="s">
        <v>147</v>
      </c>
      <c r="G10" s="1" t="s">
        <v>161</v>
      </c>
    </row>
    <row r="11" spans="1:7">
      <c r="A11">
        <v>10</v>
      </c>
      <c r="B11" t="s">
        <v>162</v>
      </c>
      <c r="C11" t="s">
        <v>150</v>
      </c>
      <c r="D11" t="s">
        <v>158</v>
      </c>
      <c r="E11" t="s">
        <v>147</v>
      </c>
      <c r="G11" s="1" t="s">
        <v>161</v>
      </c>
    </row>
    <row r="12" spans="1:7">
      <c r="A12">
        <v>11</v>
      </c>
      <c r="B12" t="s">
        <v>163</v>
      </c>
      <c r="C12" t="s">
        <v>145</v>
      </c>
      <c r="D12" t="s">
        <v>146</v>
      </c>
      <c r="E12" t="s">
        <v>164</v>
      </c>
      <c r="F12">
        <v>639</v>
      </c>
      <c r="G12" s="1" t="s">
        <v>148</v>
      </c>
    </row>
    <row r="13" spans="1:7">
      <c r="A13">
        <v>12</v>
      </c>
      <c r="B13" t="s">
        <v>165</v>
      </c>
      <c r="C13" t="s">
        <v>150</v>
      </c>
      <c r="D13" t="s">
        <v>146</v>
      </c>
      <c r="E13" t="s">
        <v>164</v>
      </c>
      <c r="G13" s="1" t="s">
        <v>161</v>
      </c>
    </row>
    <row r="14" spans="1:7">
      <c r="A14">
        <v>13</v>
      </c>
      <c r="B14" t="s">
        <v>166</v>
      </c>
      <c r="C14" t="s">
        <v>150</v>
      </c>
      <c r="D14" t="s">
        <v>146</v>
      </c>
      <c r="E14" t="s">
        <v>167</v>
      </c>
      <c r="F14">
        <v>806</v>
      </c>
      <c r="G14" s="1" t="s">
        <v>148</v>
      </c>
    </row>
    <row r="15" spans="1:7">
      <c r="A15">
        <v>14</v>
      </c>
      <c r="B15" t="s">
        <v>168</v>
      </c>
      <c r="C15" t="s">
        <v>145</v>
      </c>
      <c r="D15" t="s">
        <v>158</v>
      </c>
      <c r="E15" t="s">
        <v>167</v>
      </c>
      <c r="F15">
        <v>2505</v>
      </c>
      <c r="G15" s="1" t="s">
        <v>148</v>
      </c>
    </row>
    <row r="16" spans="1:7">
      <c r="A16">
        <v>15</v>
      </c>
      <c r="B16" t="s">
        <v>169</v>
      </c>
      <c r="C16" t="s">
        <v>145</v>
      </c>
      <c r="D16" t="s">
        <v>146</v>
      </c>
      <c r="E16" t="s">
        <v>167</v>
      </c>
      <c r="F16">
        <v>626</v>
      </c>
      <c r="G16" s="1" t="s">
        <v>148</v>
      </c>
    </row>
    <row r="17" spans="1:7">
      <c r="A17">
        <v>16</v>
      </c>
      <c r="B17" t="s">
        <v>170</v>
      </c>
      <c r="C17" t="s">
        <v>150</v>
      </c>
      <c r="D17" t="s">
        <v>146</v>
      </c>
      <c r="E17" t="s">
        <v>171</v>
      </c>
      <c r="G17" s="1" t="s">
        <v>161</v>
      </c>
    </row>
    <row r="18" spans="1:7">
      <c r="A18">
        <v>17</v>
      </c>
      <c r="B18" t="s">
        <v>172</v>
      </c>
      <c r="C18" t="s">
        <v>145</v>
      </c>
      <c r="D18" t="s">
        <v>146</v>
      </c>
      <c r="E18" t="s">
        <v>171</v>
      </c>
      <c r="G18" s="1" t="s">
        <v>161</v>
      </c>
    </row>
    <row r="19" spans="1:7">
      <c r="A19">
        <v>18</v>
      </c>
      <c r="B19" t="s">
        <v>173</v>
      </c>
      <c r="C19" t="s">
        <v>150</v>
      </c>
      <c r="D19" t="s">
        <v>146</v>
      </c>
      <c r="E19" t="s">
        <v>174</v>
      </c>
      <c r="F19">
        <v>247</v>
      </c>
      <c r="G19" s="1" t="s">
        <v>148</v>
      </c>
    </row>
    <row r="20" spans="1:7">
      <c r="A20">
        <v>19</v>
      </c>
      <c r="B20" t="s">
        <v>175</v>
      </c>
      <c r="C20" t="s">
        <v>145</v>
      </c>
      <c r="D20" t="s">
        <v>146</v>
      </c>
      <c r="E20" t="s">
        <v>174</v>
      </c>
      <c r="F20">
        <v>218</v>
      </c>
      <c r="G20" s="1" t="s">
        <v>148</v>
      </c>
    </row>
    <row r="21" spans="1:7">
      <c r="A21">
        <v>20</v>
      </c>
      <c r="B21" t="s">
        <v>176</v>
      </c>
      <c r="C21" t="s">
        <v>150</v>
      </c>
      <c r="D21" t="s">
        <v>177</v>
      </c>
      <c r="E21" t="s">
        <v>178</v>
      </c>
      <c r="F21">
        <v>5389</v>
      </c>
      <c r="G21" s="1" t="s">
        <v>148</v>
      </c>
    </row>
    <row r="22" spans="1:7">
      <c r="A22">
        <v>21</v>
      </c>
      <c r="B22" t="s">
        <v>179</v>
      </c>
      <c r="C22" t="s">
        <v>150</v>
      </c>
      <c r="D22" t="s">
        <v>177</v>
      </c>
      <c r="E22" t="s">
        <v>178</v>
      </c>
      <c r="F22">
        <v>408</v>
      </c>
      <c r="G22" s="1" t="s">
        <v>148</v>
      </c>
    </row>
    <row r="23" spans="1:7">
      <c r="A23">
        <v>22</v>
      </c>
      <c r="B23" t="s">
        <v>180</v>
      </c>
      <c r="C23" t="s">
        <v>145</v>
      </c>
      <c r="D23" t="s">
        <v>146</v>
      </c>
      <c r="E23" t="s">
        <v>181</v>
      </c>
      <c r="G23" s="1" t="s">
        <v>161</v>
      </c>
    </row>
    <row r="24" spans="1:7">
      <c r="A24">
        <v>23</v>
      </c>
      <c r="B24" t="s">
        <v>182</v>
      </c>
      <c r="C24" t="s">
        <v>145</v>
      </c>
      <c r="D24" t="s">
        <v>146</v>
      </c>
      <c r="E24" t="s">
        <v>181</v>
      </c>
      <c r="F24">
        <v>1471</v>
      </c>
      <c r="G24" s="1" t="s">
        <v>148</v>
      </c>
    </row>
    <row r="25" spans="1:7">
      <c r="A25">
        <v>24</v>
      </c>
      <c r="B25" t="s">
        <v>183</v>
      </c>
      <c r="C25" t="s">
        <v>150</v>
      </c>
      <c r="D25" t="s">
        <v>146</v>
      </c>
      <c r="E25" t="s">
        <v>181</v>
      </c>
      <c r="G25" s="1" t="s">
        <v>161</v>
      </c>
    </row>
    <row r="26" spans="1:7">
      <c r="A26">
        <v>25</v>
      </c>
      <c r="B26" t="s">
        <v>107</v>
      </c>
      <c r="C26" t="s">
        <v>150</v>
      </c>
      <c r="D26" t="s">
        <v>146</v>
      </c>
      <c r="E26" t="s">
        <v>184</v>
      </c>
      <c r="F26">
        <v>259</v>
      </c>
      <c r="G26" s="1" t="s">
        <v>148</v>
      </c>
    </row>
    <row r="27" spans="1:7">
      <c r="A27">
        <v>26</v>
      </c>
      <c r="B27" t="s">
        <v>135</v>
      </c>
      <c r="C27" t="s">
        <v>150</v>
      </c>
      <c r="D27" t="s">
        <v>185</v>
      </c>
      <c r="E27" t="s">
        <v>186</v>
      </c>
      <c r="G27" s="1" t="s">
        <v>161</v>
      </c>
    </row>
    <row r="28" spans="1:7">
      <c r="A28">
        <v>27</v>
      </c>
      <c r="B28" t="s">
        <v>119</v>
      </c>
      <c r="C28" t="s">
        <v>145</v>
      </c>
      <c r="D28" t="s">
        <v>155</v>
      </c>
      <c r="E28" t="s">
        <v>147</v>
      </c>
      <c r="F28">
        <v>948</v>
      </c>
      <c r="G28" s="1" t="s">
        <v>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2026-06-03T09:34:08Z</dcterms:created>
  <dcterms:modified xsi:type="dcterms:W3CDTF">2026-06-06T09:03:03Z</dcterms:modified>
  <cp:category/>
  <cp:contentStatus/>
</cp:coreProperties>
</file>